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b0adcb2f49ff0b/Documents/"/>
    </mc:Choice>
  </mc:AlternateContent>
  <xr:revisionPtr revIDLastSave="22" documentId="8_{88E018E1-8D7E-48A8-99CF-B2F8BBA6A43A}" xr6:coauthVersionLast="47" xr6:coauthVersionMax="47" xr10:uidLastSave="{52854922-C146-4601-8A4C-FE6A812741F1}"/>
  <bookViews>
    <workbookView xWindow="-108" yWindow="-108" windowWidth="23256" windowHeight="12456" xr2:uid="{23E775EA-AD62-480E-B46F-5C245AB18041}"/>
  </bookViews>
  <sheets>
    <sheet name="Uof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C30" i="1"/>
  <c r="C37" i="1"/>
  <c r="E53" i="1" l="1"/>
  <c r="F53" i="1" s="1"/>
  <c r="E52" i="1"/>
  <c r="F52" i="1" s="1"/>
  <c r="E51" i="1"/>
  <c r="F51" i="1" s="1"/>
  <c r="E50" i="1"/>
  <c r="F50" i="1" s="1"/>
  <c r="C53" i="1"/>
  <c r="C52" i="1"/>
  <c r="C51" i="1"/>
  <c r="C50" i="1"/>
  <c r="E49" i="1"/>
  <c r="F49" i="1" s="1"/>
  <c r="I37" i="1"/>
  <c r="I36" i="1"/>
  <c r="F18" i="1"/>
  <c r="F17" i="1"/>
  <c r="C15" i="1"/>
  <c r="E13" i="1"/>
  <c r="F13" i="1" s="1"/>
  <c r="E12" i="1"/>
  <c r="C9" i="1"/>
  <c r="C6" i="1" l="1"/>
  <c r="C8" i="1" s="1"/>
  <c r="E15" i="1"/>
  <c r="F12" i="1"/>
  <c r="F15" i="1" s="1"/>
  <c r="F20" i="1" l="1"/>
  <c r="C32" i="1"/>
  <c r="C36" i="1"/>
  <c r="C44" i="1" s="1"/>
  <c r="C34" i="1" l="1"/>
  <c r="I42" i="1" s="1"/>
  <c r="G52" i="1" l="1"/>
  <c r="G49" i="1"/>
  <c r="G51" i="1"/>
  <c r="G50" i="1"/>
  <c r="H53" i="1"/>
  <c r="H52" i="1"/>
  <c r="H51" i="1"/>
  <c r="I39" i="1"/>
  <c r="I40" i="1" s="1"/>
  <c r="H50" i="1"/>
  <c r="H49" i="1"/>
  <c r="I41" i="1"/>
  <c r="G53" i="1"/>
</calcChain>
</file>

<file path=xl/sharedStrings.xml><?xml version="1.0" encoding="utf-8"?>
<sst xmlns="http://schemas.openxmlformats.org/spreadsheetml/2006/main" count="53" uniqueCount="43">
  <si>
    <t>Broker &amp; bank fee roll in</t>
  </si>
  <si>
    <t>Total</t>
  </si>
  <si>
    <t>Deposit</t>
  </si>
  <si>
    <t>Closing rebate</t>
  </si>
  <si>
    <t>Unit</t>
  </si>
  <si>
    <t># of units</t>
  </si>
  <si>
    <t>Monthly</t>
  </si>
  <si>
    <t>Annual</t>
  </si>
  <si>
    <t>Other income</t>
  </si>
  <si>
    <t>Pet</t>
  </si>
  <si>
    <t>Usage</t>
  </si>
  <si>
    <t>Property taxes</t>
  </si>
  <si>
    <t>Operating expenses</t>
  </si>
  <si>
    <t>Insurance</t>
  </si>
  <si>
    <t>Utilities</t>
  </si>
  <si>
    <t>Repairs &amp; maintenance</t>
  </si>
  <si>
    <t>Other costs</t>
  </si>
  <si>
    <t>Replacement reserve</t>
  </si>
  <si>
    <t>Total Op Ex</t>
  </si>
  <si>
    <t>Net Operating Income</t>
  </si>
  <si>
    <t>Total including other income</t>
  </si>
  <si>
    <t>Mortgage</t>
  </si>
  <si>
    <t>Interest</t>
  </si>
  <si>
    <t>Amort</t>
  </si>
  <si>
    <t>Purchase price</t>
  </si>
  <si>
    <t>CF after debt</t>
  </si>
  <si>
    <t>Cash on cash</t>
  </si>
  <si>
    <t>DSCR</t>
  </si>
  <si>
    <t>Cap rate</t>
  </si>
  <si>
    <t>Total loan size</t>
  </si>
  <si>
    <t>Rate sensitivity</t>
  </si>
  <si>
    <t>Input rate</t>
  </si>
  <si>
    <t>Cashflow</t>
  </si>
  <si>
    <t>-50 bp</t>
  </si>
  <si>
    <t>-25 bp</t>
  </si>
  <si>
    <t>+25 bp</t>
  </si>
  <si>
    <t>+50 bp</t>
  </si>
  <si>
    <t>Management &amp; salaries @ 5%</t>
  </si>
  <si>
    <t>8plex model - UofA</t>
  </si>
  <si>
    <t>3 bed upper</t>
  </si>
  <si>
    <t>2 bed lower</t>
  </si>
  <si>
    <t>CMHC Premium (5.775%)</t>
  </si>
  <si>
    <t>Vacancy and bad debt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</si>
</sst>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3" fontId="0" fillId="0" borderId="0" xfId="0" applyNumberFormat="1"/>
    <xf numFmtId="9" fontId="0" fillId="0" borderId="0" xfId="1" applyFon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64" fontId="0" fillId="0" borderId="0" xfId="1" applyNumberFormat="1" applyFont="1"/>
    <xf numFmtId="0" fontId="3" fillId="0" borderId="0" xfId="0" applyFont="1"/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0" fontId="0" fillId="0" borderId="1" xfId="1" applyNumberFormat="1" applyFont="1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0" fontId="0" fillId="0" borderId="3" xfId="1" applyNumberFormat="1" applyFont="1" applyBorder="1"/>
    <xf numFmtId="164" fontId="0" fillId="0" borderId="0" xfId="1" applyNumberFormat="1" applyFont="1" applyBorder="1" applyAlignment="1">
      <alignment horizontal="center"/>
    </xf>
    <xf numFmtId="0" fontId="4" fillId="2" borderId="0" xfId="0" quotePrefix="1" applyFont="1" applyFill="1"/>
    <xf numFmtId="0" fontId="4" fillId="3" borderId="0" xfId="0" quotePrefix="1" applyFont="1" applyFill="1"/>
    <xf numFmtId="0" fontId="0" fillId="0" borderId="4" xfId="0" applyBorder="1"/>
    <xf numFmtId="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3" fontId="3" fillId="0" borderId="0" xfId="0" applyNumberFormat="1" applyFont="1"/>
    <xf numFmtId="3" fontId="3" fillId="0" borderId="0" xfId="0" applyNumberFormat="1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DA35-D65B-475E-A92F-719591DAE089}">
  <dimension ref="B2:R54"/>
  <sheetViews>
    <sheetView showGridLines="0" tabSelected="1" topLeftCell="A25" workbookViewId="0">
      <selection activeCell="J28" sqref="J28"/>
    </sheetView>
  </sheetViews>
  <sheetFormatPr defaultRowHeight="14.4" outlineLevelRow="1" outlineLevelCol="1" x14ac:dyDescent="0.3"/>
  <cols>
    <col min="2" max="2" width="31.6640625" bestFit="1" customWidth="1"/>
    <col min="3" max="3" width="8.88671875" style="1" bestFit="1" customWidth="1"/>
    <col min="7" max="7" width="10.77734375" style="4" bestFit="1" customWidth="1"/>
    <col min="8" max="8" width="12.21875" bestFit="1" customWidth="1"/>
    <col min="9" max="9" width="8.88671875" bestFit="1" customWidth="1"/>
    <col min="14" max="18" width="8.77734375" customWidth="1" outlineLevel="1"/>
  </cols>
  <sheetData>
    <row r="2" spans="2:6" x14ac:dyDescent="0.3">
      <c r="B2" s="8" t="s">
        <v>38</v>
      </c>
    </row>
    <row r="4" spans="2:6" x14ac:dyDescent="0.3">
      <c r="B4" t="s">
        <v>24</v>
      </c>
      <c r="C4" s="1">
        <v>2446808.5099999998</v>
      </c>
    </row>
    <row r="5" spans="2:6" x14ac:dyDescent="0.3">
      <c r="B5" t="s">
        <v>0</v>
      </c>
      <c r="C5" s="1">
        <v>36702.129999999997</v>
      </c>
    </row>
    <row r="6" spans="2:6" x14ac:dyDescent="0.3">
      <c r="B6" t="s">
        <v>1</v>
      </c>
      <c r="C6" s="1">
        <f>+C4+C5</f>
        <v>2483510.6399999997</v>
      </c>
    </row>
    <row r="7" spans="2:6" x14ac:dyDescent="0.3">
      <c r="B7" t="s">
        <v>2</v>
      </c>
      <c r="C7" s="2">
        <v>0.05</v>
      </c>
    </row>
    <row r="8" spans="2:6" x14ac:dyDescent="0.3">
      <c r="B8" t="s">
        <v>2</v>
      </c>
      <c r="C8" s="1">
        <f>+C6*C7</f>
        <v>124175.53199999999</v>
      </c>
    </row>
    <row r="9" spans="2:6" x14ac:dyDescent="0.3">
      <c r="B9" t="s">
        <v>3</v>
      </c>
      <c r="C9" s="1">
        <f>+C5</f>
        <v>36702.129999999997</v>
      </c>
    </row>
    <row r="11" spans="2:6" x14ac:dyDescent="0.3">
      <c r="B11" s="19" t="s">
        <v>4</v>
      </c>
      <c r="C11" s="20" t="s">
        <v>5</v>
      </c>
      <c r="D11" s="21"/>
      <c r="E11" s="21" t="s">
        <v>6</v>
      </c>
      <c r="F11" s="21" t="s">
        <v>7</v>
      </c>
    </row>
    <row r="12" spans="2:6" x14ac:dyDescent="0.3">
      <c r="B12" t="s">
        <v>39</v>
      </c>
      <c r="C12" s="3">
        <v>4</v>
      </c>
      <c r="D12" s="3">
        <v>2450</v>
      </c>
      <c r="E12" s="3">
        <f>+C12*D12</f>
        <v>9800</v>
      </c>
      <c r="F12" s="3">
        <f>+E12*12</f>
        <v>117600</v>
      </c>
    </row>
    <row r="13" spans="2:6" x14ac:dyDescent="0.3">
      <c r="B13" t="s">
        <v>40</v>
      </c>
      <c r="C13" s="3">
        <v>4</v>
      </c>
      <c r="D13" s="3">
        <v>1450</v>
      </c>
      <c r="E13" s="3">
        <f>+C13*D13</f>
        <v>5800</v>
      </c>
      <c r="F13" s="3">
        <f>+E13*12</f>
        <v>69600</v>
      </c>
    </row>
    <row r="14" spans="2:6" x14ac:dyDescent="0.3">
      <c r="D14" s="4"/>
      <c r="E14" s="4"/>
      <c r="F14" s="4"/>
    </row>
    <row r="15" spans="2:6" x14ac:dyDescent="0.3">
      <c r="B15" s="19" t="s">
        <v>1</v>
      </c>
      <c r="C15" s="20">
        <f>+SUM(C12:C13)</f>
        <v>8</v>
      </c>
      <c r="D15" s="21"/>
      <c r="E15" s="20">
        <f>+SUM(E12:E13)</f>
        <v>15600</v>
      </c>
      <c r="F15" s="20">
        <f>+SUM(F12:F13)</f>
        <v>187200</v>
      </c>
    </row>
    <row r="16" spans="2:6" x14ac:dyDescent="0.3">
      <c r="D16" s="4" t="s">
        <v>10</v>
      </c>
      <c r="E16" s="4"/>
      <c r="F16" s="4"/>
    </row>
    <row r="17" spans="2:9" x14ac:dyDescent="0.3">
      <c r="B17" t="s">
        <v>8</v>
      </c>
      <c r="C17" s="3">
        <v>4</v>
      </c>
      <c r="D17" s="9">
        <v>1</v>
      </c>
      <c r="E17" s="4">
        <v>100</v>
      </c>
      <c r="F17" s="3">
        <f>+C17*D17*E17*12</f>
        <v>4800</v>
      </c>
    </row>
    <row r="18" spans="2:9" x14ac:dyDescent="0.3">
      <c r="B18" t="s">
        <v>9</v>
      </c>
      <c r="C18" s="3">
        <v>6</v>
      </c>
      <c r="D18" s="9">
        <v>0.2</v>
      </c>
      <c r="E18" s="4">
        <v>50</v>
      </c>
      <c r="F18" s="3">
        <f>+C18*D18*E18*12</f>
        <v>720.00000000000011</v>
      </c>
    </row>
    <row r="19" spans="2:9" x14ac:dyDescent="0.3">
      <c r="B19" t="s">
        <v>1</v>
      </c>
      <c r="D19" s="4"/>
      <c r="E19" s="4"/>
      <c r="F19" s="3">
        <f>+F17+F18</f>
        <v>5520</v>
      </c>
    </row>
    <row r="20" spans="2:9" x14ac:dyDescent="0.3">
      <c r="B20" s="8" t="s">
        <v>20</v>
      </c>
      <c r="C20" s="22"/>
      <c r="D20" s="10"/>
      <c r="E20" s="10"/>
      <c r="F20" s="23">
        <f>+F19+F15</f>
        <v>192720</v>
      </c>
    </row>
    <row r="22" spans="2:9" x14ac:dyDescent="0.3">
      <c r="B22" s="8" t="s">
        <v>12</v>
      </c>
      <c r="C22" s="23" t="s">
        <v>7</v>
      </c>
    </row>
    <row r="23" spans="2:9" x14ac:dyDescent="0.3">
      <c r="B23" t="s">
        <v>11</v>
      </c>
      <c r="C23" s="3">
        <v>20395.330000000002</v>
      </c>
    </row>
    <row r="24" spans="2:9" x14ac:dyDescent="0.3">
      <c r="B24" t="s">
        <v>13</v>
      </c>
      <c r="C24" s="3">
        <v>6400</v>
      </c>
    </row>
    <row r="25" spans="2:9" x14ac:dyDescent="0.3">
      <c r="B25" t="s">
        <v>14</v>
      </c>
      <c r="C25" s="3">
        <v>0</v>
      </c>
    </row>
    <row r="26" spans="2:9" x14ac:dyDescent="0.3">
      <c r="B26" t="s">
        <v>15</v>
      </c>
      <c r="C26" s="3">
        <v>4800</v>
      </c>
    </row>
    <row r="27" spans="2:9" x14ac:dyDescent="0.3">
      <c r="B27" t="s">
        <v>37</v>
      </c>
      <c r="C27" s="3">
        <v>11488</v>
      </c>
    </row>
    <row r="28" spans="2:9" x14ac:dyDescent="0.3">
      <c r="B28" t="s">
        <v>16</v>
      </c>
      <c r="C28" s="3">
        <v>3744</v>
      </c>
    </row>
    <row r="29" spans="2:9" x14ac:dyDescent="0.3">
      <c r="B29" t="s">
        <v>17</v>
      </c>
      <c r="C29" s="3">
        <v>2400</v>
      </c>
    </row>
    <row r="30" spans="2:9" x14ac:dyDescent="0.3">
      <c r="B30" t="s">
        <v>42</v>
      </c>
      <c r="C30" s="3">
        <f>0.06*F15</f>
        <v>11232</v>
      </c>
    </row>
    <row r="31" spans="2:9" x14ac:dyDescent="0.3">
      <c r="C31" s="3"/>
    </row>
    <row r="32" spans="2:9" x14ac:dyDescent="0.3">
      <c r="B32" s="24" t="s">
        <v>18</v>
      </c>
      <c r="C32" s="25">
        <f>+SUM(C23:C30)</f>
        <v>60459.33</v>
      </c>
      <c r="I32" s="1"/>
    </row>
    <row r="33" spans="2:18" x14ac:dyDescent="0.3">
      <c r="C33" s="3"/>
      <c r="I33" s="1"/>
    </row>
    <row r="34" spans="2:18" x14ac:dyDescent="0.3">
      <c r="B34" s="8" t="s">
        <v>19</v>
      </c>
      <c r="C34" s="3">
        <f>+F20-C32</f>
        <v>132260.66999999998</v>
      </c>
      <c r="O34" s="5"/>
      <c r="P34" s="5"/>
      <c r="Q34" s="5"/>
      <c r="R34" s="5"/>
    </row>
    <row r="35" spans="2:18" x14ac:dyDescent="0.3">
      <c r="C35" s="3"/>
      <c r="D35" s="19"/>
      <c r="E35" s="21" t="s">
        <v>22</v>
      </c>
      <c r="F35" s="19"/>
      <c r="G35" s="21" t="s">
        <v>23</v>
      </c>
      <c r="H35" s="21" t="s">
        <v>6</v>
      </c>
      <c r="I35" s="21" t="s">
        <v>7</v>
      </c>
      <c r="O35" s="1"/>
      <c r="P35" s="1"/>
      <c r="Q35" s="1"/>
      <c r="R35" s="1"/>
    </row>
    <row r="36" spans="2:18" x14ac:dyDescent="0.3">
      <c r="B36" t="s">
        <v>21</v>
      </c>
      <c r="C36" s="3">
        <f>+C6-C8</f>
        <v>2359335.1079999995</v>
      </c>
      <c r="E36" s="6">
        <v>4.1000000000000002E-2</v>
      </c>
      <c r="G36" s="4">
        <v>50</v>
      </c>
      <c r="H36" s="3">
        <v>9202.57</v>
      </c>
      <c r="I36" s="3">
        <f>+H36*12</f>
        <v>110430.84</v>
      </c>
      <c r="O36" s="1"/>
      <c r="P36" s="1"/>
      <c r="Q36" s="1"/>
      <c r="R36" s="1"/>
    </row>
    <row r="37" spans="2:18" x14ac:dyDescent="0.3">
      <c r="B37" t="s">
        <v>41</v>
      </c>
      <c r="C37" s="3">
        <f>+C36*0.05775</f>
        <v>136251.60248699997</v>
      </c>
      <c r="E37" s="6">
        <v>4.1000000000000002E-2</v>
      </c>
      <c r="G37" s="4">
        <v>50</v>
      </c>
      <c r="H37" s="3">
        <v>531.45000000000005</v>
      </c>
      <c r="I37" s="3">
        <f>+H37*12</f>
        <v>6377.4000000000005</v>
      </c>
    </row>
    <row r="39" spans="2:18" x14ac:dyDescent="0.3">
      <c r="H39" s="8" t="s">
        <v>25</v>
      </c>
      <c r="I39" s="1">
        <f>+C34-I36-I37</f>
        <v>15452.429999999986</v>
      </c>
    </row>
    <row r="40" spans="2:18" x14ac:dyDescent="0.3">
      <c r="H40" s="8" t="s">
        <v>26</v>
      </c>
      <c r="I40" s="7">
        <f>+I39/C8</f>
        <v>0.12444021580676608</v>
      </c>
    </row>
    <row r="41" spans="2:18" x14ac:dyDescent="0.3">
      <c r="H41" s="8" t="s">
        <v>27</v>
      </c>
      <c r="I41" s="7">
        <f>+C34/SUM(I36:I37)</f>
        <v>1.1322888693468884</v>
      </c>
    </row>
    <row r="42" spans="2:18" x14ac:dyDescent="0.3">
      <c r="H42" s="8" t="s">
        <v>28</v>
      </c>
      <c r="I42" s="7">
        <f>+C34/C4</f>
        <v>5.4054360796709833E-2</v>
      </c>
    </row>
    <row r="44" spans="2:18" x14ac:dyDescent="0.3">
      <c r="B44" t="s">
        <v>29</v>
      </c>
      <c r="C44" s="3">
        <f>+SUM(C36:C37)</f>
        <v>2495586.7104869997</v>
      </c>
    </row>
    <row r="46" spans="2:18" hidden="1" outlineLevel="1" x14ac:dyDescent="0.3">
      <c r="B46" s="8" t="s">
        <v>30</v>
      </c>
    </row>
    <row r="47" spans="2:18" hidden="1" outlineLevel="1" x14ac:dyDescent="0.3">
      <c r="I47" s="4"/>
    </row>
    <row r="48" spans="2:18" ht="15" hidden="1" outlineLevel="1" thickBot="1" x14ac:dyDescent="0.35">
      <c r="B48" s="8" t="s">
        <v>31</v>
      </c>
      <c r="D48" s="10" t="s">
        <v>23</v>
      </c>
      <c r="E48" s="10" t="s">
        <v>6</v>
      </c>
      <c r="F48" s="10" t="s">
        <v>7</v>
      </c>
      <c r="G48" s="10" t="s">
        <v>32</v>
      </c>
      <c r="H48" s="10" t="s">
        <v>27</v>
      </c>
      <c r="I48" s="4"/>
    </row>
    <row r="49" spans="2:8" hidden="1" outlineLevel="1" x14ac:dyDescent="0.3">
      <c r="C49" s="11">
        <v>4.2000000000000003E-2</v>
      </c>
      <c r="D49" s="12">
        <v>50</v>
      </c>
      <c r="E49" s="13">
        <f>+SUM(H36:H37)</f>
        <v>9734.02</v>
      </c>
      <c r="F49" s="13">
        <f>+E49*12</f>
        <v>116808.24</v>
      </c>
      <c r="G49" s="13">
        <f>+C34-SUM(I36:I37)</f>
        <v>15452.429999999993</v>
      </c>
      <c r="H49" s="14">
        <f>+C34/SUM(I36:I37)</f>
        <v>1.1322888693468884</v>
      </c>
    </row>
    <row r="50" spans="2:8" hidden="1" outlineLevel="1" x14ac:dyDescent="0.3">
      <c r="B50" s="18" t="s">
        <v>33</v>
      </c>
      <c r="C50" s="15">
        <f>+C49-0.5%</f>
        <v>3.7000000000000005E-2</v>
      </c>
      <c r="D50" s="4">
        <v>50</v>
      </c>
      <c r="E50" s="3">
        <f>+O35+O36</f>
        <v>0</v>
      </c>
      <c r="F50" s="3">
        <f>+E50*12</f>
        <v>0</v>
      </c>
      <c r="G50" s="3">
        <f>+$C$34-F50</f>
        <v>132260.66999999998</v>
      </c>
      <c r="H50" s="16" t="e">
        <f>+$C$34/F50</f>
        <v>#DIV/0!</v>
      </c>
    </row>
    <row r="51" spans="2:8" hidden="1" outlineLevel="1" x14ac:dyDescent="0.3">
      <c r="B51" s="18" t="s">
        <v>34</v>
      </c>
      <c r="C51" s="15">
        <f>+$C$49-0.25%</f>
        <v>3.95E-2</v>
      </c>
      <c r="D51" s="4">
        <v>50</v>
      </c>
      <c r="E51" s="3">
        <f>+P35+P36</f>
        <v>0</v>
      </c>
      <c r="F51" s="3">
        <f>+E51*12</f>
        <v>0</v>
      </c>
      <c r="G51" s="3">
        <f>+$C$34-F51</f>
        <v>132260.66999999998</v>
      </c>
      <c r="H51" s="16" t="e">
        <f>+$C$34/F51</f>
        <v>#DIV/0!</v>
      </c>
    </row>
    <row r="52" spans="2:8" hidden="1" outlineLevel="1" x14ac:dyDescent="0.3">
      <c r="B52" s="17" t="s">
        <v>35</v>
      </c>
      <c r="C52" s="15">
        <f>+$C$49+0.25%</f>
        <v>4.4500000000000005E-2</v>
      </c>
      <c r="D52" s="4">
        <v>50</v>
      </c>
      <c r="E52" s="3">
        <f>+Q35+Q36</f>
        <v>0</v>
      </c>
      <c r="F52" s="3">
        <f>+E52*12</f>
        <v>0</v>
      </c>
      <c r="G52" s="3">
        <f>+$C$34-F52</f>
        <v>132260.66999999998</v>
      </c>
      <c r="H52" s="16" t="e">
        <f>+$C$34/F52</f>
        <v>#DIV/0!</v>
      </c>
    </row>
    <row r="53" spans="2:8" hidden="1" outlineLevel="1" x14ac:dyDescent="0.3">
      <c r="B53" s="17" t="s">
        <v>36</v>
      </c>
      <c r="C53" s="15">
        <f>+$C$49+0.5%</f>
        <v>4.7E-2</v>
      </c>
      <c r="D53" s="4">
        <v>50</v>
      </c>
      <c r="E53" s="3">
        <f>+R35+R36</f>
        <v>0</v>
      </c>
      <c r="F53" s="3">
        <f>+E53*12</f>
        <v>0</v>
      </c>
      <c r="G53" s="3">
        <f>+$C$34-F53</f>
        <v>132260.66999999998</v>
      </c>
      <c r="H53" s="16" t="e">
        <f>+$C$34/F53</f>
        <v>#DIV/0!</v>
      </c>
    </row>
    <row r="54" spans="2:8" collapsed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Pinto</dc:creator>
  <cp:lastModifiedBy>Jonathan Pinto</cp:lastModifiedBy>
  <dcterms:created xsi:type="dcterms:W3CDTF">2025-07-24T18:21:06Z</dcterms:created>
  <dcterms:modified xsi:type="dcterms:W3CDTF">2025-11-14T19:42:10Z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20f7f-72f9-4fec-829a-6db6694f9c5f_Enabled">
    <vt:lpwstr>true</vt:lpwstr>
  </property>
  <property fmtid="{D5CDD505-2E9C-101B-9397-08002B2CF9AE}" pid="3" name="MSIP_Label_0c320f7f-72f9-4fec-829a-6db6694f9c5f_SetDate">
    <vt:lpwstr>2025-07-24T18:57:53Z</vt:lpwstr>
  </property>
  <property fmtid="{D5CDD505-2E9C-101B-9397-08002B2CF9AE}" pid="4" name="MSIP_Label_0c320f7f-72f9-4fec-829a-6db6694f9c5f_Method">
    <vt:lpwstr>Privileged</vt:lpwstr>
  </property>
  <property fmtid="{D5CDD505-2E9C-101B-9397-08002B2CF9AE}" pid="5" name="MSIP_Label_0c320f7f-72f9-4fec-829a-6db6694f9c5f_Name">
    <vt:lpwstr>Public</vt:lpwstr>
  </property>
  <property fmtid="{D5CDD505-2E9C-101B-9397-08002B2CF9AE}" pid="6" name="MSIP_Label_0c320f7f-72f9-4fec-829a-6db6694f9c5f_SiteId">
    <vt:lpwstr>10f32b3b-62be-4beb-bf33-f8247220486a</vt:lpwstr>
  </property>
  <property fmtid="{D5CDD505-2E9C-101B-9397-08002B2CF9AE}" pid="7" name="MSIP_Label_0c320f7f-72f9-4fec-829a-6db6694f9c5f_ActionId">
    <vt:lpwstr>904950fa-9a58-424d-bf92-5ea3ab36a424</vt:lpwstr>
  </property>
  <property fmtid="{D5CDD505-2E9C-101B-9397-08002B2CF9AE}" pid="8" name="MSIP_Label_0c320f7f-72f9-4fec-829a-6db6694f9c5f_ContentBits">
    <vt:lpwstr>0</vt:lpwstr>
  </property>
  <property fmtid="{D5CDD505-2E9C-101B-9397-08002B2CF9AE}" pid="9" name="MSIP_Label_0c320f7f-72f9-4fec-829a-6db6694f9c5f_Tag">
    <vt:lpwstr>10, 0, 1, 1</vt:lpwstr>
  </property>
</Properties>
</file>